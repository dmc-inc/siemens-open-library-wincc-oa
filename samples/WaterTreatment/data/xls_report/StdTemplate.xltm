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DieseArbeitsmappe" defaultThemeVersion="124226"/>
  <bookViews>
    <workbookView xWindow="-15" yWindow="2820" windowWidth="17235" windowHeight="2835" firstSheet="1" activeTab="1"/>
  </bookViews>
  <sheets>
    <sheet name="Konfiguration" sheetId="3" state="hidden" r:id="rId1"/>
    <sheet name="Std" sheetId="4" r:id="rId2"/>
  </sheets>
  <definedNames>
    <definedName name="_xlnm.Print_Area" localSheetId="1">Std!$B$20:$C$36</definedName>
    <definedName name="_xlnm.Print_Titles" localSheetId="1">Std!$B:$B</definedName>
    <definedName name="erAreaIndexes">Konfiguration!$B$20</definedName>
    <definedName name="erBis">Konfiguration!$B$8</definedName>
    <definedName name="erCreationDate">Konfiguration!$B$19</definedName>
    <definedName name="erFrom">Konfiguration!$B$7</definedName>
    <definedName name="erInterval">Konfiguration!$B$9</definedName>
    <definedName name="erIntervall">Konfiguration!$B$9</definedName>
    <definedName name="erIntervallEinheit">Konfiguration!$B$10</definedName>
    <definedName name="erIntervalUnit">Konfiguration!$B$10</definedName>
    <definedName name="erLastUpdate">Konfiguration!$C$19</definedName>
    <definedName name="erPeriod">Konfiguration!$B$11</definedName>
    <definedName name="erPeriode">Konfiguration!$B$11</definedName>
    <definedName name="erPeriodeEinheit">Konfiguration!$B$12</definedName>
    <definedName name="erPeriodUnit">Konfiguration!$B$12</definedName>
    <definedName name="erProtokollTyp">Konfiguration!$B$6</definedName>
    <definedName name="erReportType">Konfiguration!$B$6</definedName>
    <definedName name="erRequestType">Konfiguration!$B$17</definedName>
    <definedName name="erTo">Konfiguration!$B$8</definedName>
    <definedName name="erUserFullName">Konfiguration!$C$16</definedName>
    <definedName name="erUserName">Konfiguration!$B$16</definedName>
    <definedName name="erVon">Konfiguration!$B$7</definedName>
  </definedNames>
  <calcPr calcId="125725"/>
</workbook>
</file>

<file path=xl/calcChain.xml><?xml version="1.0" encoding="utf-8"?>
<calcChain xmlns="http://schemas.openxmlformats.org/spreadsheetml/2006/main">
  <c r="B24" i="4"/>
  <c r="B23"/>
  <c r="B21"/>
  <c r="B26"/>
  <c r="B25"/>
  <c r="C23"/>
  <c r="C24"/>
  <c r="C26"/>
  <c r="C25"/>
  <c r="C22"/>
  <c r="B29"/>
  <c r="B28"/>
</calcChain>
</file>

<file path=xl/sharedStrings.xml><?xml version="1.0" encoding="utf-8"?>
<sst xmlns="http://schemas.openxmlformats.org/spreadsheetml/2006/main" count="89" uniqueCount="69">
  <si>
    <t>ProtokollTypen</t>
  </si>
  <si>
    <t>DPTyp</t>
  </si>
  <si>
    <t>StdVorlage</t>
  </si>
  <si>
    <t>Version</t>
  </si>
  <si>
    <t>DPTypen</t>
  </si>
  <si>
    <t>DateiTyp</t>
  </si>
  <si>
    <t>Format</t>
  </si>
  <si>
    <t>Vorlage</t>
  </si>
  <si>
    <t>DPName</t>
  </si>
  <si>
    <t>Standardprotokoll</t>
  </si>
  <si>
    <t>Kopf / Fußzeilen</t>
  </si>
  <si>
    <t>Blatt</t>
  </si>
  <si>
    <t>Bereich</t>
  </si>
  <si>
    <t>Min</t>
  </si>
  <si>
    <t>Max</t>
  </si>
  <si>
    <t>Average</t>
  </si>
  <si>
    <t>Sum</t>
  </si>
  <si>
    <t>Header</t>
  </si>
  <si>
    <t>Data</t>
  </si>
  <si>
    <t>Footer</t>
  </si>
  <si>
    <t>Page End</t>
  </si>
  <si>
    <t>DPFkt</t>
  </si>
  <si>
    <t>CenterFooter</t>
  </si>
  <si>
    <t>[Reporttype]</t>
  </si>
  <si>
    <t>[From]</t>
  </si>
  <si>
    <t>[To]</t>
  </si>
  <si>
    <t>DPE</t>
  </si>
  <si>
    <t>Offset</t>
  </si>
  <si>
    <t>Zeile</t>
  </si>
  <si>
    <t>Spalte</t>
  </si>
  <si>
    <t>Seitenansicht</t>
  </si>
  <si>
    <t>DP</t>
  </si>
  <si>
    <t>DPT</t>
  </si>
  <si>
    <t>Function</t>
  </si>
  <si>
    <t>Result Query</t>
  </si>
  <si>
    <t>Result Function</t>
  </si>
  <si>
    <t>Offset Time</t>
  </si>
  <si>
    <t>Minimum</t>
  </si>
  <si>
    <t>Maximum</t>
  </si>
  <si>
    <t>Mittelwert</t>
  </si>
  <si>
    <t>Summe</t>
  </si>
  <si>
    <t>ProtokollTyp</t>
  </si>
  <si>
    <t>Von</t>
  </si>
  <si>
    <t>Bis</t>
  </si>
  <si>
    <t>Intervall</t>
  </si>
  <si>
    <t>Intervall Einheit</t>
  </si>
  <si>
    <t>Periode</t>
  </si>
  <si>
    <t>Periode Einheit</t>
  </si>
  <si>
    <t>Comment</t>
  </si>
  <si>
    <t>Alias</t>
  </si>
  <si>
    <t>ArchivTyp</t>
  </si>
  <si>
    <t>Marker</t>
  </si>
  <si>
    <t>Passwort</t>
  </si>
  <si>
    <t>o</t>
  </si>
  <si>
    <t>Min Color</t>
  </si>
  <si>
    <t>Max Color</t>
  </si>
  <si>
    <t>Min/Max mark</t>
  </si>
  <si>
    <t>User</t>
  </si>
  <si>
    <t>RequestType</t>
  </si>
  <si>
    <t>LogChanges</t>
  </si>
  <si>
    <t>Unit</t>
  </si>
  <si>
    <t>AutoFormat</t>
  </si>
  <si>
    <t>CreationDate</t>
  </si>
  <si>
    <t>Areas</t>
  </si>
  <si>
    <t>CostCenter</t>
  </si>
  <si>
    <t>CostCenterWeighting</t>
  </si>
  <si>
    <t>CCMedium</t>
  </si>
  <si>
    <t>CCUnitFactor</t>
  </si>
  <si>
    <t>v3.8.5</t>
  </si>
</sst>
</file>

<file path=xl/styles.xml><?xml version="1.0" encoding="utf-8"?>
<styleSheet xmlns="http://schemas.openxmlformats.org/spreadsheetml/2006/main">
  <numFmts count="5">
    <numFmt numFmtId="164" formatCode="_-* #,##0.00\ _D_M_-;\-* #,##0.00\ _D_M_-;_-* &quot;-&quot;??\ _D_M_-;_-@_-"/>
    <numFmt numFmtId="165" formatCode="dd/mm/yy"/>
    <numFmt numFmtId="166" formatCode="_-* #,##0\ _D_M_-;\-* #,##0\ _D_M_-;_-* &quot;-&quot;\ _D_M_-;_-@_-"/>
    <numFmt numFmtId="167" formatCode="_-* #,##0.00\ &quot;DM&quot;_-;\-* #,##0.00\ &quot;DM&quot;_-;_-* &quot;-&quot;??\ &quot;DM&quot;_-;_-@_-"/>
    <numFmt numFmtId="168" formatCode="_-* #,##0\ &quot;DM&quot;_-;\-* #,##0\ &quot;DM&quot;_-;_-* &quot;-&quot;\ &quot;DM&quot;_-;_-@_-"/>
  </numFmts>
  <fonts count="29">
    <font>
      <sz val="10"/>
      <name val="Arial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24"/>
      <color indexed="10"/>
      <name val="Symbol"/>
      <family val="1"/>
      <charset val="2"/>
    </font>
    <font>
      <b/>
      <sz val="10"/>
      <color indexed="10"/>
      <name val="Arial"/>
      <family val="2"/>
    </font>
    <font>
      <b/>
      <i/>
      <u val="double"/>
      <sz val="10"/>
      <color indexed="60"/>
      <name val="Arial"/>
      <family val="2"/>
    </font>
    <font>
      <strike/>
      <sz val="10"/>
      <color indexed="45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u val="double"/>
      <sz val="10"/>
      <color rgb="FF9933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10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double">
        <color indexed="8"/>
      </bottom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8">
    <xf numFmtId="0" fontId="0" fillId="0" borderId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10" applyNumberFormat="0" applyAlignment="0" applyProtection="0"/>
    <xf numFmtId="0" fontId="14" fillId="32" borderId="11" applyNumberFormat="0" applyAlignment="0" applyProtection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5" fillId="33" borderId="11" applyNumberFormat="0" applyAlignment="0" applyProtection="0"/>
    <xf numFmtId="0" fontId="16" fillId="0" borderId="12" applyNumberFormat="0" applyFill="0" applyAlignment="0" applyProtection="0"/>
    <xf numFmtId="0" fontId="17" fillId="0" borderId="0" applyNumberFormat="0" applyFill="0" applyBorder="0" applyAlignment="0" applyProtection="0"/>
    <xf numFmtId="0" fontId="7" fillId="2" borderId="1" applyNumberFormat="0" applyFill="0" applyBorder="0" applyAlignment="0" applyProtection="0"/>
    <xf numFmtId="0" fontId="2" fillId="0" borderId="0" applyNumberFormat="0" applyFill="0" applyBorder="0" applyAlignment="0" applyProtection="0"/>
    <xf numFmtId="0" fontId="18" fillId="34" borderId="0" applyNumberFormat="0" applyBorder="0" applyAlignment="0" applyProtection="0"/>
    <xf numFmtId="0" fontId="8" fillId="0" borderId="2" applyNumberFormat="0" applyFill="0" applyBorder="0" applyAlignment="0" applyProtection="0"/>
    <xf numFmtId="0" fontId="19" fillId="35" borderId="0" applyNumberFormat="0" applyBorder="0" applyAlignment="0" applyProtection="0"/>
    <xf numFmtId="0" fontId="10" fillId="36" borderId="13" applyNumberFormat="0" applyFont="0" applyAlignment="0" applyProtection="0"/>
    <xf numFmtId="0" fontId="20" fillId="37" borderId="0" applyNumberFormat="0" applyBorder="0" applyAlignment="0" applyProtection="0"/>
    <xf numFmtId="0" fontId="2" fillId="3" borderId="0"/>
    <xf numFmtId="0" fontId="6" fillId="4" borderId="3" applyNumberFormat="0" applyFont="0" applyFill="0" applyAlignment="0" applyProtection="0">
      <alignment horizontal="centerContinuous"/>
    </xf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9" fillId="0" borderId="4" applyNumberFormat="0" applyFill="0" applyBorder="0" applyAlignment="0" applyProtection="0"/>
    <xf numFmtId="0" fontId="1" fillId="5" borderId="5" applyNumberFormat="0" applyFont="0" applyFill="0" applyAlignment="0" applyProtection="0"/>
    <xf numFmtId="0" fontId="25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27" fillId="38" borderId="18" applyNumberFormat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7" fillId="2" borderId="1" applyNumberFormat="0" applyFill="0" applyBorder="0" applyAlignment="0" applyProtection="0"/>
    <xf numFmtId="0" fontId="9" fillId="0" borderId="4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Border="1"/>
    <xf numFmtId="0" fontId="3" fillId="0" borderId="0" xfId="0" applyFont="1" applyBorder="1"/>
    <xf numFmtId="0" fontId="1" fillId="6" borderId="0" xfId="0" applyFont="1" applyFill="1" applyProtection="1"/>
    <xf numFmtId="0" fontId="0" fillId="6" borderId="0" xfId="0" applyFill="1" applyProtection="1"/>
    <xf numFmtId="0" fontId="0" fillId="0" borderId="0" xfId="0" applyBorder="1" applyProtection="1"/>
    <xf numFmtId="0" fontId="0" fillId="0" borderId="0" xfId="0" applyProtection="1"/>
    <xf numFmtId="164" fontId="0" fillId="0" borderId="0" xfId="28" applyFont="1" applyProtection="1"/>
    <xf numFmtId="0" fontId="1" fillId="0" borderId="0" xfId="0" applyFont="1" applyBorder="1" applyProtection="1"/>
    <xf numFmtId="14" fontId="0" fillId="0" borderId="0" xfId="0" applyNumberFormat="1" applyProtection="1"/>
    <xf numFmtId="0" fontId="3" fillId="0" borderId="0" xfId="0" applyFont="1" applyAlignment="1" applyProtection="1">
      <alignment horizontal="center"/>
    </xf>
    <xf numFmtId="0" fontId="5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4" fillId="0" borderId="6" xfId="0" applyFont="1" applyBorder="1" applyAlignment="1" applyProtection="1">
      <alignment horizontal="left" vertical="center"/>
    </xf>
    <xf numFmtId="0" fontId="3" fillId="0" borderId="6" xfId="0" applyFont="1" applyBorder="1" applyAlignment="1" applyProtection="1">
      <alignment horizontal="center" vertical="center"/>
    </xf>
    <xf numFmtId="0" fontId="2" fillId="0" borderId="0" xfId="0" applyFont="1" applyProtection="1"/>
    <xf numFmtId="0" fontId="4" fillId="0" borderId="7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center"/>
    </xf>
    <xf numFmtId="0" fontId="4" fillId="0" borderId="0" xfId="0" applyFont="1" applyAlignment="1" applyProtection="1">
      <alignment horizontal="center" vertical="top" wrapText="1"/>
    </xf>
    <xf numFmtId="0" fontId="4" fillId="0" borderId="7" xfId="0" applyFont="1" applyBorder="1" applyAlignment="1" applyProtection="1">
      <alignment horizontal="left" vertical="top" wrapText="1"/>
    </xf>
    <xf numFmtId="0" fontId="4" fillId="0" borderId="7" xfId="0" applyFont="1" applyBorder="1" applyAlignment="1" applyProtection="1">
      <alignment horizontal="center" vertical="top" wrapText="1"/>
    </xf>
    <xf numFmtId="0" fontId="4" fillId="0" borderId="0" xfId="0" applyFont="1" applyAlignment="1" applyProtection="1">
      <alignment horizontal="center"/>
    </xf>
    <xf numFmtId="0" fontId="4" fillId="0" borderId="8" xfId="0" applyFont="1" applyBorder="1" applyAlignment="1" applyProtection="1">
      <alignment horizontal="left"/>
    </xf>
    <xf numFmtId="165" fontId="4" fillId="0" borderId="8" xfId="0" applyNumberFormat="1" applyFont="1" applyBorder="1" applyAlignment="1" applyProtection="1">
      <alignment horizontal="center"/>
    </xf>
    <xf numFmtId="22" fontId="0" fillId="0" borderId="9" xfId="0" applyNumberFormat="1" applyFill="1" applyBorder="1" applyProtection="1"/>
    <xf numFmtId="0" fontId="0" fillId="0" borderId="9" xfId="0" applyFill="1" applyBorder="1" applyProtection="1"/>
    <xf numFmtId="2" fontId="0" fillId="0" borderId="9" xfId="0" applyNumberFormat="1" applyFill="1" applyBorder="1" applyProtection="1"/>
    <xf numFmtId="0" fontId="0" fillId="0" borderId="0" xfId="0" applyFill="1" applyProtection="1"/>
    <xf numFmtId="0" fontId="0" fillId="7" borderId="9" xfId="0" applyFill="1" applyBorder="1" applyProtection="1"/>
    <xf numFmtId="2" fontId="0" fillId="7" borderId="9" xfId="0" applyNumberFormat="1" applyFill="1" applyBorder="1" applyProtection="1"/>
    <xf numFmtId="0" fontId="0" fillId="7" borderId="0" xfId="0" applyFill="1" applyProtection="1"/>
    <xf numFmtId="2" fontId="1" fillId="6" borderId="0" xfId="0" applyNumberFormat="1" applyFont="1" applyFill="1" applyProtection="1"/>
    <xf numFmtId="0" fontId="0" fillId="0" borderId="6" xfId="0" applyBorder="1" applyProtection="1"/>
    <xf numFmtId="2" fontId="0" fillId="0" borderId="6" xfId="0" applyNumberFormat="1" applyBorder="1" applyProtection="1"/>
    <xf numFmtId="0" fontId="0" fillId="0" borderId="8" xfId="0" applyBorder="1" applyProtection="1"/>
    <xf numFmtId="0" fontId="1" fillId="0" borderId="8" xfId="0" applyFont="1" applyBorder="1" applyProtection="1"/>
    <xf numFmtId="2" fontId="1" fillId="0" borderId="8" xfId="0" applyNumberFormat="1" applyFont="1" applyBorder="1" applyProtection="1"/>
    <xf numFmtId="0" fontId="0" fillId="0" borderId="9" xfId="0" applyBorder="1" applyProtection="1"/>
  </cellXfs>
  <cellStyles count="58">
    <cellStyle name="20% - Akzent1" xfId="1" builtinId="30" customBuiltin="1"/>
    <cellStyle name="20% - Akzent2" xfId="2" builtinId="34" customBuiltin="1"/>
    <cellStyle name="20% - Akzent3" xfId="3" builtinId="38" customBuiltin="1"/>
    <cellStyle name="20% - Akzent4" xfId="4" builtinId="42" customBuiltin="1"/>
    <cellStyle name="20% - Akzent5" xfId="5" builtinId="46" customBuiltin="1"/>
    <cellStyle name="20% - Akzent6" xfId="6" builtinId="50" customBuiltin="1"/>
    <cellStyle name="40% - Akzent1" xfId="7" builtinId="31" customBuiltin="1"/>
    <cellStyle name="40% - Akzent2" xfId="8" builtinId="35" customBuiltin="1"/>
    <cellStyle name="40% - Akzent3" xfId="9" builtinId="39" customBuiltin="1"/>
    <cellStyle name="40% - Akzent4" xfId="10" builtinId="43" customBuiltin="1"/>
    <cellStyle name="40% - Akzent5" xfId="11" builtinId="47" customBuiltin="1"/>
    <cellStyle name="40% - Akzent6" xfId="12" builtinId="51" customBuiltin="1"/>
    <cellStyle name="60% - Akzent1" xfId="13" builtinId="32" customBuiltin="1"/>
    <cellStyle name="60% - Akzent2" xfId="14" builtinId="36" customBuiltin="1"/>
    <cellStyle name="60% - Akzent3" xfId="15" builtinId="40" customBuiltin="1"/>
    <cellStyle name="60% - Akzent4" xfId="16" builtinId="44" customBuiltin="1"/>
    <cellStyle name="60% - Akzent5" xfId="17" builtinId="48" customBuiltin="1"/>
    <cellStyle name="60% - Akzent6" xfId="18" builtinId="52" customBuiltin="1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Changed" xfId="54"/>
    <cellStyle name="Default" xfId="27"/>
    <cellStyle name="DefaultValue" xfId="55"/>
    <cellStyle name="Dezimal" xfId="28" builtinId="3"/>
    <cellStyle name="Dezimal [0]" xfId="51" builtinId="6" customBuiltin="1"/>
    <cellStyle name="Eingabe" xfId="29" builtinId="20" customBuiltin="1"/>
    <cellStyle name="Ergebnis" xfId="30" builtinId="25" customBuiltin="1"/>
    <cellStyle name="Erklärender Text" xfId="31" builtinId="53" customBuiltin="1"/>
    <cellStyle name="Ersatzwert" xfId="32"/>
    <cellStyle name="Gültig" xfId="33"/>
    <cellStyle name="Gut" xfId="34" builtinId="26" customBuiltin="1"/>
    <cellStyle name="Invalid" xfId="56"/>
    <cellStyle name="Korrigiert" xfId="35"/>
    <cellStyle name="Neutral" xfId="36" builtinId="28" customBuiltin="1"/>
    <cellStyle name="Notiz" xfId="37" builtinId="10" customBuiltin="1"/>
    <cellStyle name="Schlecht" xfId="38" builtinId="27" customBuiltin="1"/>
    <cellStyle name="sdf" xfId="39"/>
    <cellStyle name="Standard" xfId="0" builtinId="0"/>
    <cellStyle name="TEST" xfId="40"/>
    <cellStyle name="Überschrift" xfId="41" builtinId="15" customBuiltin="1"/>
    <cellStyle name="Überschrift 1" xfId="42" builtinId="16" customBuiltin="1"/>
    <cellStyle name="Überschrift 2" xfId="43" builtinId="17" customBuiltin="1"/>
    <cellStyle name="Überschrift 3" xfId="44" builtinId="18" customBuiltin="1"/>
    <cellStyle name="Überschrift 4" xfId="45" builtinId="19" customBuiltin="1"/>
    <cellStyle name="Ungültig" xfId="46"/>
    <cellStyle name="UserBit_1" xfId="47"/>
    <cellStyle name="Valid" xfId="57"/>
    <cellStyle name="Verknüpfte Zelle" xfId="48" builtinId="24" customBuiltin="1"/>
    <cellStyle name="Währung" xfId="52" builtinId="4" customBuiltin="1"/>
    <cellStyle name="Währung [0]" xfId="53" builtinId="7" customBuiltin="1"/>
    <cellStyle name="Warnender Text" xfId="49" builtinId="11" customBuiltin="1"/>
    <cellStyle name="Zelle überprüfen" xfId="50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B34"/>
  <sheetViews>
    <sheetView workbookViewId="0">
      <selection activeCell="B4" sqref="B4"/>
    </sheetView>
  </sheetViews>
  <sheetFormatPr baseColWidth="10" defaultRowHeight="12.75"/>
  <cols>
    <col min="1" max="1" width="20.85546875" customWidth="1"/>
    <col min="2" max="3" width="17.5703125" customWidth="1"/>
    <col min="4" max="4" width="2.140625" customWidth="1"/>
    <col min="5" max="6" width="23.5703125" customWidth="1"/>
    <col min="7" max="7" width="1.5703125" customWidth="1"/>
    <col min="8" max="8" width="6.28515625" bestFit="1" customWidth="1"/>
    <col min="9" max="9" width="9.7109375" bestFit="1" customWidth="1"/>
    <col min="10" max="10" width="6.28515625" bestFit="1" customWidth="1"/>
    <col min="11" max="11" width="8.140625" bestFit="1" customWidth="1"/>
    <col min="12" max="12" width="1.7109375" customWidth="1"/>
    <col min="13" max="13" width="10.85546875" bestFit="1" customWidth="1"/>
    <col min="14" max="14" width="6.140625" bestFit="1" customWidth="1"/>
    <col min="15" max="15" width="8" bestFit="1" customWidth="1"/>
    <col min="16" max="16" width="12.42578125" bestFit="1" customWidth="1"/>
    <col min="17" max="17" width="8.7109375" bestFit="1" customWidth="1"/>
    <col min="18" max="18" width="7.7109375" bestFit="1" customWidth="1"/>
    <col min="19" max="19" width="6.28515625" bestFit="1" customWidth="1"/>
    <col min="20" max="20" width="9.7109375" bestFit="1" customWidth="1"/>
    <col min="21" max="21" width="6.28515625" bestFit="1" customWidth="1"/>
    <col min="22" max="22" width="8.140625" bestFit="1" customWidth="1"/>
    <col min="23" max="23" width="8.7109375" bestFit="1" customWidth="1"/>
    <col min="24" max="24" width="14.140625" bestFit="1" customWidth="1"/>
    <col min="25" max="25" width="13.7109375" bestFit="1" customWidth="1"/>
    <col min="26" max="26" width="25" bestFit="1" customWidth="1"/>
    <col min="27" max="27" width="13.28515625" bestFit="1" customWidth="1"/>
    <col min="28" max="28" width="16.140625" bestFit="1" customWidth="1"/>
  </cols>
  <sheetData>
    <row r="1" spans="1:28" s="2" customFormat="1" ht="15.75">
      <c r="A1" s="2" t="s">
        <v>2</v>
      </c>
      <c r="E1" s="2" t="s">
        <v>0</v>
      </c>
      <c r="F1" s="2" t="s">
        <v>4</v>
      </c>
      <c r="H1" s="2" t="s">
        <v>11</v>
      </c>
      <c r="I1" s="2" t="s">
        <v>12</v>
      </c>
      <c r="J1" s="2" t="s">
        <v>28</v>
      </c>
      <c r="K1" s="2" t="s">
        <v>29</v>
      </c>
      <c r="M1" s="2" t="s">
        <v>8</v>
      </c>
      <c r="N1" s="2" t="s">
        <v>26</v>
      </c>
      <c r="O1" s="2" t="s">
        <v>21</v>
      </c>
      <c r="P1" s="2" t="s">
        <v>50</v>
      </c>
      <c r="Q1" s="2" t="s">
        <v>1</v>
      </c>
      <c r="R1" s="2" t="s">
        <v>27</v>
      </c>
      <c r="S1" s="2" t="s">
        <v>11</v>
      </c>
      <c r="T1" s="2" t="s">
        <v>12</v>
      </c>
      <c r="U1" s="2" t="s">
        <v>28</v>
      </c>
      <c r="V1" s="2" t="s">
        <v>29</v>
      </c>
      <c r="W1" s="2" t="s">
        <v>51</v>
      </c>
      <c r="X1" s="2" t="s">
        <v>61</v>
      </c>
      <c r="Y1" s="2" t="s">
        <v>64</v>
      </c>
      <c r="Z1" s="2" t="s">
        <v>65</v>
      </c>
      <c r="AA1" s="2" t="s">
        <v>66</v>
      </c>
      <c r="AB1" s="2" t="s">
        <v>67</v>
      </c>
    </row>
    <row r="2" spans="1:28">
      <c r="A2" t="s">
        <v>5</v>
      </c>
      <c r="B2" t="s">
        <v>7</v>
      </c>
      <c r="H2">
        <v>2</v>
      </c>
      <c r="I2" t="s">
        <v>17</v>
      </c>
      <c r="J2">
        <v>20</v>
      </c>
      <c r="K2">
        <v>0</v>
      </c>
    </row>
    <row r="3" spans="1:28">
      <c r="A3" s="1" t="s">
        <v>6</v>
      </c>
      <c r="B3" t="s">
        <v>9</v>
      </c>
      <c r="H3">
        <v>2</v>
      </c>
      <c r="I3" t="s">
        <v>18</v>
      </c>
      <c r="J3">
        <v>27</v>
      </c>
      <c r="K3">
        <v>0</v>
      </c>
    </row>
    <row r="4" spans="1:28">
      <c r="A4" s="1" t="s">
        <v>3</v>
      </c>
      <c r="B4" s="1" t="s">
        <v>68</v>
      </c>
      <c r="C4" s="1"/>
      <c r="H4">
        <v>2</v>
      </c>
      <c r="I4" t="s">
        <v>19</v>
      </c>
      <c r="J4">
        <v>30</v>
      </c>
      <c r="K4">
        <v>0</v>
      </c>
    </row>
    <row r="5" spans="1:28">
      <c r="A5" s="1" t="s">
        <v>30</v>
      </c>
      <c r="B5" s="1" t="b">
        <v>0</v>
      </c>
      <c r="C5" s="1"/>
      <c r="H5">
        <v>2</v>
      </c>
      <c r="I5" t="s">
        <v>13</v>
      </c>
      <c r="J5">
        <v>32</v>
      </c>
      <c r="K5">
        <v>0</v>
      </c>
    </row>
    <row r="6" spans="1:28">
      <c r="A6" s="1" t="s">
        <v>41</v>
      </c>
      <c r="B6" s="1"/>
      <c r="C6" s="1"/>
      <c r="H6">
        <v>2</v>
      </c>
      <c r="I6" t="s">
        <v>14</v>
      </c>
      <c r="J6">
        <v>33</v>
      </c>
      <c r="K6">
        <v>0</v>
      </c>
    </row>
    <row r="7" spans="1:28">
      <c r="A7" s="1" t="s">
        <v>42</v>
      </c>
      <c r="B7" s="1"/>
      <c r="C7" s="1"/>
      <c r="H7">
        <v>2</v>
      </c>
      <c r="I7" t="s">
        <v>15</v>
      </c>
      <c r="J7">
        <v>34</v>
      </c>
      <c r="K7">
        <v>0</v>
      </c>
    </row>
    <row r="8" spans="1:28">
      <c r="A8" s="1" t="s">
        <v>43</v>
      </c>
      <c r="B8" s="1"/>
      <c r="C8" s="1"/>
      <c r="H8">
        <v>2</v>
      </c>
      <c r="I8" t="s">
        <v>16</v>
      </c>
      <c r="J8">
        <v>35</v>
      </c>
      <c r="K8">
        <v>0</v>
      </c>
    </row>
    <row r="9" spans="1:28">
      <c r="A9" t="s">
        <v>44</v>
      </c>
      <c r="H9">
        <v>2</v>
      </c>
      <c r="I9" t="s">
        <v>20</v>
      </c>
      <c r="J9">
        <v>36</v>
      </c>
      <c r="K9">
        <v>0</v>
      </c>
    </row>
    <row r="10" spans="1:28">
      <c r="A10" t="s">
        <v>45</v>
      </c>
    </row>
    <row r="11" spans="1:28">
      <c r="A11" t="s">
        <v>46</v>
      </c>
    </row>
    <row r="12" spans="1:28">
      <c r="A12" t="s">
        <v>47</v>
      </c>
    </row>
    <row r="13" spans="1:28">
      <c r="A13" t="s">
        <v>52</v>
      </c>
      <c r="B13" t="s">
        <v>53</v>
      </c>
    </row>
    <row r="14" spans="1:28">
      <c r="A14" t="s">
        <v>54</v>
      </c>
      <c r="B14">
        <v>65280</v>
      </c>
    </row>
    <row r="15" spans="1:28">
      <c r="A15" t="s">
        <v>55</v>
      </c>
      <c r="B15">
        <v>255</v>
      </c>
    </row>
    <row r="16" spans="1:28">
      <c r="A16" t="s">
        <v>57</v>
      </c>
    </row>
    <row r="17" spans="1:3">
      <c r="A17" t="s">
        <v>58</v>
      </c>
    </row>
    <row r="18" spans="1:3">
      <c r="A18" t="s">
        <v>59</v>
      </c>
      <c r="B18">
        <v>0</v>
      </c>
    </row>
    <row r="19" spans="1:3">
      <c r="A19" s="1" t="s">
        <v>62</v>
      </c>
      <c r="B19" s="1"/>
      <c r="C19" s="1"/>
    </row>
    <row r="20" spans="1:3">
      <c r="A20" s="1" t="s">
        <v>63</v>
      </c>
      <c r="B20" s="1">
        <v>0</v>
      </c>
      <c r="C20" s="1"/>
    </row>
    <row r="21" spans="1:3">
      <c r="A21" s="1"/>
      <c r="B21" s="1"/>
      <c r="C21" s="1"/>
    </row>
    <row r="22" spans="1:3">
      <c r="A22" s="1"/>
      <c r="B22" s="1"/>
      <c r="C22" s="1"/>
    </row>
    <row r="23" spans="1:3">
      <c r="A23" s="1"/>
      <c r="B23" s="1"/>
      <c r="C23" s="1"/>
    </row>
    <row r="24" spans="1:3">
      <c r="A24" s="1"/>
      <c r="B24" s="1"/>
      <c r="C24" s="1"/>
    </row>
    <row r="25" spans="1:3">
      <c r="A25" s="1"/>
      <c r="B25" s="1"/>
      <c r="C25" s="1"/>
    </row>
    <row r="26" spans="1:3">
      <c r="A26" s="1"/>
      <c r="B26" s="1"/>
      <c r="C26" s="1"/>
    </row>
    <row r="27" spans="1:3">
      <c r="A27" s="1"/>
      <c r="B27" s="1"/>
      <c r="C27" s="1"/>
    </row>
    <row r="28" spans="1:3">
      <c r="A28" s="1"/>
      <c r="B28" s="1"/>
      <c r="C28" s="1"/>
    </row>
    <row r="29" spans="1:3">
      <c r="A29" s="1"/>
      <c r="B29" s="1"/>
      <c r="C29" s="1"/>
    </row>
    <row r="30" spans="1:3">
      <c r="A30" s="1"/>
      <c r="B30" s="1"/>
      <c r="C30" s="1"/>
    </row>
    <row r="31" spans="1:3" ht="15.75">
      <c r="A31" s="2" t="s">
        <v>10</v>
      </c>
    </row>
    <row r="32" spans="1:3">
      <c r="A32">
        <v>2</v>
      </c>
      <c r="B32" t="s">
        <v>22</v>
      </c>
      <c r="C32" t="s">
        <v>23</v>
      </c>
    </row>
    <row r="33" spans="1:3">
      <c r="A33">
        <v>2</v>
      </c>
      <c r="B33" t="s">
        <v>22</v>
      </c>
      <c r="C33" t="s">
        <v>24</v>
      </c>
    </row>
    <row r="34" spans="1:3">
      <c r="A34">
        <v>2</v>
      </c>
      <c r="B34" t="s">
        <v>22</v>
      </c>
      <c r="C34" t="s">
        <v>25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horizont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ProtVorlage1">
    <pageSetUpPr fitToPage="1"/>
  </sheetPr>
  <dimension ref="A1:E36"/>
  <sheetViews>
    <sheetView showGridLines="0" tabSelected="1" workbookViewId="0">
      <selection activeCell="C22" sqref="C22"/>
    </sheetView>
  </sheetViews>
  <sheetFormatPr baseColWidth="10" defaultRowHeight="12.75" customHeight="1"/>
  <cols>
    <col min="1" max="1" width="15.42578125" style="6" bestFit="1" customWidth="1"/>
    <col min="2" max="2" width="14" style="6" customWidth="1"/>
    <col min="3" max="3" width="18.42578125" style="6" customWidth="1"/>
    <col min="4" max="16384" width="11.42578125" style="6"/>
  </cols>
  <sheetData>
    <row r="1" spans="1:5" s="4" customFormat="1">
      <c r="A1" s="3" t="s">
        <v>9</v>
      </c>
      <c r="B1" s="3"/>
      <c r="C1" s="3"/>
    </row>
    <row r="2" spans="1:5" ht="12.75" customHeight="1">
      <c r="A2" s="5" t="s">
        <v>31</v>
      </c>
    </row>
    <row r="3" spans="1:5" ht="12.75" customHeight="1">
      <c r="A3" s="6" t="s">
        <v>26</v>
      </c>
    </row>
    <row r="4" spans="1:5" ht="12.75" customHeight="1">
      <c r="A4" s="5" t="s">
        <v>32</v>
      </c>
    </row>
    <row r="5" spans="1:5" ht="12.75" customHeight="1">
      <c r="A5" s="5" t="s">
        <v>33</v>
      </c>
      <c r="E5" s="7"/>
    </row>
    <row r="6" spans="1:5" ht="12.75" customHeight="1">
      <c r="A6" s="8" t="s">
        <v>48</v>
      </c>
    </row>
    <row r="7" spans="1:5" ht="12.75" customHeight="1">
      <c r="A7" s="8" t="s">
        <v>49</v>
      </c>
    </row>
    <row r="8" spans="1:5" ht="12.75" customHeight="1">
      <c r="A8" s="8" t="s">
        <v>6</v>
      </c>
    </row>
    <row r="9" spans="1:5" ht="12.75" customHeight="1">
      <c r="A9" s="8" t="s">
        <v>60</v>
      </c>
    </row>
    <row r="10" spans="1:5" ht="12.75" customHeight="1">
      <c r="A10" s="8" t="s">
        <v>61</v>
      </c>
    </row>
    <row r="11" spans="1:5" ht="12.75" customHeight="1">
      <c r="A11" s="5" t="s">
        <v>50</v>
      </c>
    </row>
    <row r="12" spans="1:5" ht="12.75" customHeight="1">
      <c r="A12" s="5" t="s">
        <v>56</v>
      </c>
    </row>
    <row r="13" spans="1:5" ht="12.75" customHeight="1">
      <c r="A13" s="5" t="s">
        <v>34</v>
      </c>
    </row>
    <row r="14" spans="1:5" ht="14.25" customHeight="1">
      <c r="A14" s="5" t="s">
        <v>35</v>
      </c>
    </row>
    <row r="15" spans="1:5" ht="12.75" customHeight="1">
      <c r="A15" s="5" t="s">
        <v>27</v>
      </c>
    </row>
    <row r="16" spans="1:5" ht="12.75" customHeight="1">
      <c r="A16" s="5" t="s">
        <v>36</v>
      </c>
      <c r="C16" s="9"/>
    </row>
    <row r="20" spans="1:5" s="4" customFormat="1">
      <c r="A20" s="3" t="s">
        <v>17</v>
      </c>
      <c r="B20" s="3"/>
      <c r="C20" s="3"/>
    </row>
    <row r="21" spans="1:5" s="10" customFormat="1" ht="26.25" customHeight="1">
      <c r="B21" s="11">
        <f>erProtokollTyp</f>
        <v>0</v>
      </c>
      <c r="C21" s="11"/>
      <c r="D21" s="12"/>
      <c r="E21" s="12"/>
    </row>
    <row r="22" spans="1:5" s="13" customFormat="1" ht="21" customHeight="1">
      <c r="B22" s="14"/>
      <c r="C22" s="15">
        <f>C2</f>
        <v>0</v>
      </c>
    </row>
    <row r="23" spans="1:5" s="16" customFormat="1" ht="11.25" customHeight="1">
      <c r="B23" s="17">
        <f>erRequestType</f>
        <v>0</v>
      </c>
      <c r="C23" s="18">
        <f>C3</f>
        <v>0</v>
      </c>
    </row>
    <row r="24" spans="1:5" s="16" customFormat="1" ht="11.25" customHeight="1">
      <c r="B24" s="17">
        <f>erUserName</f>
        <v>0</v>
      </c>
      <c r="C24" s="18">
        <f>C6</f>
        <v>0</v>
      </c>
    </row>
    <row r="25" spans="1:5" s="19" customFormat="1" ht="11.25" customHeight="1">
      <c r="B25" s="20" t="str">
        <f>"Beginn " &amp; TEXT(erVon,"TT.MM.JJJJ")</f>
        <v>Beginn 00.01.1900</v>
      </c>
      <c r="C25" s="21">
        <f>C5</f>
        <v>0</v>
      </c>
    </row>
    <row r="26" spans="1:5" s="22" customFormat="1" ht="11.25" customHeight="1">
      <c r="B26" s="23" t="str">
        <f>"Ende    "&amp; TEXT(erBis,"TT.MM.JJJJ")</f>
        <v>Ende    00.01.1900</v>
      </c>
      <c r="C26" s="24" t="str">
        <f>IF(C15&lt;&gt;0,C16,"")</f>
        <v/>
      </c>
    </row>
    <row r="27" spans="1:5" s="4" customFormat="1">
      <c r="A27" s="3" t="s">
        <v>18</v>
      </c>
      <c r="B27" s="3"/>
      <c r="C27" s="3"/>
    </row>
    <row r="28" spans="1:5" s="28" customFormat="1" ht="12.75" customHeight="1">
      <c r="A28" s="25"/>
      <c r="B28" s="26" t="str">
        <f>TEXT(A28,IF(erIntervallEinheit &lt;= 3,"hh:mm",IF(erIntervallEinheit = 4, "TT.MM.JJJJ","MM.JJJJ")))</f>
        <v>00:00</v>
      </c>
      <c r="C28" s="27"/>
    </row>
    <row r="29" spans="1:5" s="31" customFormat="1" ht="12.75" customHeight="1">
      <c r="A29" s="29"/>
      <c r="B29" s="29" t="str">
        <f>TEXT(A29,IF(erIntervallEinheit &lt;= 3,"hh:mm",IF(erIntervallEinheit = 4, "TT.MM.JJJJ","MM.JJJJ")))</f>
        <v>00:00</v>
      </c>
      <c r="C29" s="30"/>
    </row>
    <row r="30" spans="1:5" s="4" customFormat="1">
      <c r="A30" s="3" t="s">
        <v>19</v>
      </c>
      <c r="B30" s="3"/>
      <c r="C30" s="32"/>
    </row>
    <row r="31" spans="1:5" ht="12.75" customHeight="1">
      <c r="A31" s="33"/>
      <c r="B31" s="33"/>
      <c r="C31" s="34"/>
    </row>
    <row r="32" spans="1:5" ht="12.75" customHeight="1">
      <c r="A32" s="35" t="s">
        <v>13</v>
      </c>
      <c r="B32" s="36" t="s">
        <v>37</v>
      </c>
      <c r="C32" s="37"/>
    </row>
    <row r="33" spans="1:3" ht="12.75" customHeight="1">
      <c r="A33" s="38" t="s">
        <v>14</v>
      </c>
      <c r="B33" s="36" t="s">
        <v>38</v>
      </c>
      <c r="C33" s="37"/>
    </row>
    <row r="34" spans="1:3" ht="12.75" customHeight="1">
      <c r="A34" s="38" t="s">
        <v>15</v>
      </c>
      <c r="B34" s="36" t="s">
        <v>39</v>
      </c>
      <c r="C34" s="37"/>
    </row>
    <row r="35" spans="1:3" ht="12.75" customHeight="1">
      <c r="A35" s="38" t="s">
        <v>16</v>
      </c>
      <c r="B35" s="36" t="s">
        <v>40</v>
      </c>
      <c r="C35" s="37"/>
    </row>
    <row r="36" spans="1:3" s="4" customFormat="1">
      <c r="A36" s="4" t="s">
        <v>20</v>
      </c>
    </row>
  </sheetData>
  <phoneticPr fontId="0" type="noConversion"/>
  <pageMargins left="0.39370078740157483" right="0.39370078740157483" top="0.4" bottom="0.78740157480314965" header="0.39370078740157483" footer="0.39370078740157483"/>
  <pageSetup paperSize="9" orientation="landscape" r:id="rId1"/>
  <headerFooter alignWithMargins="0">
    <oddFooter>&amp;L&amp;8ETM professional control GmbH
Report&amp;C&amp;8[Reporttype]
[From] bis [To]&amp;R&amp;8&amp;A - &amp;P / &amp;N
Ausdruck vom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22</vt:i4>
      </vt:variant>
    </vt:vector>
  </HeadingPairs>
  <TitlesOfParts>
    <vt:vector size="24" baseType="lpstr">
      <vt:lpstr>Konfiguration</vt:lpstr>
      <vt:lpstr>Std</vt:lpstr>
      <vt:lpstr>Std!Druckbereich</vt:lpstr>
      <vt:lpstr>Std!Drucktitel</vt:lpstr>
      <vt:lpstr>erAreaIndexes</vt:lpstr>
      <vt:lpstr>erBis</vt:lpstr>
      <vt:lpstr>erCreationDate</vt:lpstr>
      <vt:lpstr>erFrom</vt:lpstr>
      <vt:lpstr>erInterval</vt:lpstr>
      <vt:lpstr>erIntervall</vt:lpstr>
      <vt:lpstr>erIntervallEinheit</vt:lpstr>
      <vt:lpstr>erIntervalUnit</vt:lpstr>
      <vt:lpstr>erLastUpdate</vt:lpstr>
      <vt:lpstr>erPeriod</vt:lpstr>
      <vt:lpstr>erPeriode</vt:lpstr>
      <vt:lpstr>erPeriodeEinheit</vt:lpstr>
      <vt:lpstr>erPeriodUnit</vt:lpstr>
      <vt:lpstr>erProtokollTyp</vt:lpstr>
      <vt:lpstr>erReportType</vt:lpstr>
      <vt:lpstr>erRequestType</vt:lpstr>
      <vt:lpstr>erTo</vt:lpstr>
      <vt:lpstr>erUserFullName</vt:lpstr>
      <vt:lpstr>erUserName</vt:lpstr>
      <vt:lpstr>erVon</vt:lpstr>
    </vt:vector>
  </TitlesOfParts>
  <Company>ETM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Wolfram Klebel</dc:creator>
  <cp:lastModifiedBy>atw121t2</cp:lastModifiedBy>
  <cp:lastPrinted>2000-10-23T06:42:42Z</cp:lastPrinted>
  <dcterms:created xsi:type="dcterms:W3CDTF">1998-11-10T10:31:55Z</dcterms:created>
  <dcterms:modified xsi:type="dcterms:W3CDTF">2015-06-01T07:12:37Z</dcterms:modified>
</cp:coreProperties>
</file>